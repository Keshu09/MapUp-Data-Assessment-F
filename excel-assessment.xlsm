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16575" windowHeight="720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_FilterDatabase" localSheetId="6" hidden="1">Task_5!$A$22:$C$35</definedName>
  </definedNames>
  <calcPr calcId="144525"/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<sst xmlns="http://schemas.openxmlformats.org/spreadsheetml/2006/main" count="413" uniqueCount="190">
  <si>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</si>
  <si>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</si>
  <si>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</si>
  <si>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</si>
  <si>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</si>
  <si>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</si>
  <si>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</si>
  <si>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</si>
  <si>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</si>
  <si>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</si>
  <si>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</si>
  <si>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</si>
  <si>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</si>
  <si>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</si>
  <si>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</si>
  <si>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</si>
  <si>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</si>
  <si>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</si>
  <si>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</si>
  <si>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</si>
  <si>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</si>
  <si>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</si>
  <si>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</si>
  <si>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</si>
  <si>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</si>
  <si>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</si>
  <si>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</si>
  <si>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</si>
  <si>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</si>
  <si>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</si>
  <si>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</si>
  <si>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</si>
  <si>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</si>
  <si>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</si>
  <si>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</si>
  <si>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</si>
  <si>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</si>
  <si>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</si>
  <si>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</si>
  <si>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</si>
  <si>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</si>
  <si>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</si>
  <si>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</si>
  <si>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</si>
  <si>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</si>
  <si>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</si>
  <si>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</si>
  <si>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</si>
  <si>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</si>
  <si>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</si>
  <si>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</si>
  <si>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</si>
  <si>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</si>
  <si>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</si>
  <si>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</si>
  <si>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</si>
  <si>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</si>
  <si>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</si>
  <si>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</si>
  <si>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</si>
  <si>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</si>
  <si>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</si>
  <si>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</si>
  <si>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</si>
  <si>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</si>
  <si>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</si>
  <si>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</si>
  <si>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</si>
  <si>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</si>
  <si>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</si>
  <si>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</si>
  <si>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</si>
  <si>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</si>
  <si>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</si>
  <si>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</si>
  <si>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</si>
  <si>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</si>
  <si>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</si>
  <si>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</si>
  <si>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</si>
  <si>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</si>
  <si>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</si>
  <si>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</si>
  <si>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</si>
  <si>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</si>
  <si>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</si>
  <si>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</si>
  <si>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</si>
  <si>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[=SUMIFS(H2:H40,H2:H40,"&gt;20")]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</si>
  <si>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</si>
  <si>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</si>
  <si>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</si>
  <si>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</si>
  <si>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</si>
  <si>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</si>
  <si>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</si>
  <si>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</si>
  <si>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</si>
  <si>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</si>
  <si>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I used buit-in functionality to split the given data .the steps are as follow:</t>
  </si>
  <si>
    <t>Explanation:</t>
  </si>
  <si>
    <t>1) select the cell you want to split i.e values</t>
  </si>
  <si>
    <t>(i.e.values column)</t>
  </si>
  <si>
    <t>select A15:A54 and then top of the Excel select  Data.</t>
  </si>
  <si>
    <t xml:space="preserve">2) In Data ,there is text to columns tab available click on that and in drop down there is option available </t>
  </si>
  <si>
    <t>"Text to columns" click on it .</t>
  </si>
  <si>
    <t xml:space="preserve">3)choose Delimited option and vhoose </t>
  </si>
  <si>
    <t>choose other because we have (-) as sapareter ,click on Next and Choose the data format (i.e.General) and than Finish.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</si>
  <si>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</si>
  <si>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</si>
  <si>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</si>
  <si>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</si>
  <si>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</si>
  <si>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</si>
  <si>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</si>
  <si>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</si>
  <si>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</si>
  <si>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</si>
  <si>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</si>
  <si>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</si>
  <si>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</si>
  <si>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</si>
  <si>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</si>
  <si>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</si>
  <si>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</si>
  <si>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</si>
  <si>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</si>
  <si>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</si>
  <si>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</si>
  <si>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</si>
  <si>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</si>
  <si>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</si>
  <si>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</si>
  <si>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</si>
  <si>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</si>
  <si>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</si>
  <si>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</si>
  <si>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</si>
  <si>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</si>
  <si>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</si>
  <si>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</si>
  <si>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</si>
  <si>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</si>
  <si>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</si>
  <si>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</si>
  <si>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</si>
  <si>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</si>
  <si>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</si>
  <si>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</si>
  <si>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</si>
  <si>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</si>
  <si>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</si>
  <si>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</si>
  <si>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</si>
  <si>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</si>
  <si>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</si>
  <si>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</si>
  <si>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 xml:space="preserve"> First substitute #N/a value by 20 .</t>
  </si>
  <si>
    <t>For this  we have to se</t>
  </si>
  <si>
    <t>to select the cell with NA and navigate to "find and Replace " tab .</t>
  </si>
  <si>
    <t>After substitute this in the sum row at the end of sales columns write (=Sum(C12:C21)) for summation of sales column.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</si>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</sst>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2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5" applyNumberFormat="0" applyAlignment="0" applyProtection="0">
      <alignment vertical="center"/>
    </xf>
    <xf numFmtId="0" fontId="24" fillId="8" borderId="16" applyNumberFormat="0" applyAlignment="0" applyProtection="0">
      <alignment vertical="center"/>
    </xf>
    <xf numFmtId="0" fontId="25" fillId="8" borderId="15" applyNumberFormat="0" applyAlignment="0" applyProtection="0">
      <alignment vertical="center"/>
    </xf>
    <xf numFmtId="0" fontId="26" fillId="9" borderId="17" applyNumberFormat="0" applyAlignment="0" applyProtection="0">
      <alignment vertical="center"/>
    </xf>
    <xf numFmtId="0" fontId="27" fillId="0" borderId="18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 applyAlignment="1">
      <alignment wrapText="1"/>
    </xf>
    <xf numFmtId="0" fontId="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1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0" fontId="6" fillId="0" borderId="0" xfId="0" applyNumberFormat="1" applyFont="1"/>
    <xf numFmtId="180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FF0000"/>
      </font>
    </dxf>
    <dxf>
      <font>
        <color rgb="FF00B050"/>
      </font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3955014E-AF8E-4D3D-B763-05E2395F1E59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microsoft.com/office/2017/06/relationships/rdRichValue" Target="richData/rdrichvalue.xml"/><Relationship Id="rId12" Type="http://schemas.microsoft.com/office/2017/06/relationships/rdRichValueStructure" Target="richData/rdrichvaluestructure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8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2"/>
  <sheetViews>
    <sheetView topLeftCell="Q1" workbookViewId="0">
      <pane ySplit="1" topLeftCell="A2" activePane="bottomLeft" state="frozen"/>
      <selection/>
      <selection pane="bottomLeft" activeCell="AF13" sqref="AF13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36" customWidth="1"/>
    <col min="5" max="5" width="9.2" style="4" customWidth="1"/>
    <col min="6" max="6" width="10.4" style="36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4" customWidth="1"/>
    <col min="25" max="16384" width="9" style="4"/>
  </cols>
  <sheetData>
    <row r="1" s="6" customFormat="1" ht="14.75" customHeight="1" spans="1:24">
      <c r="A1" s="37" t="s">
        <v>14</v>
      </c>
      <c r="B1" s="37" t="s">
        <v>15</v>
      </c>
      <c r="C1" s="37" t="s">
        <v>16</v>
      </c>
      <c r="D1" s="38" t="s">
        <v>17</v>
      </c>
      <c r="E1" s="37" t="s">
        <v>18</v>
      </c>
      <c r="F1" s="38" t="s">
        <v>19</v>
      </c>
      <c r="G1" s="39" t="s">
        <v>20</v>
      </c>
      <c r="H1" s="39" t="s">
        <v>21</v>
      </c>
      <c r="I1" s="39" t="s">
        <v>22</v>
      </c>
      <c r="J1" s="40" t="s">
        <v>23</v>
      </c>
      <c r="K1" s="40" t="s">
        <v>24</v>
      </c>
      <c r="L1" s="40" t="s">
        <v>25</v>
      </c>
      <c r="M1" s="39" t="s">
        <v>26</v>
      </c>
      <c r="N1" s="39" t="s">
        <v>27</v>
      </c>
      <c r="O1" s="39" t="s">
        <v>28</v>
      </c>
      <c r="P1" s="40" t="s">
        <v>29</v>
      </c>
      <c r="Q1" s="40" t="s">
        <v>30</v>
      </c>
      <c r="R1" s="40" t="s">
        <v>31</v>
      </c>
      <c r="S1" s="39" t="s">
        <v>32</v>
      </c>
      <c r="T1" s="39" t="s">
        <v>33</v>
      </c>
      <c r="U1" s="40" t="s">
        <v>34</v>
      </c>
      <c r="V1" s="40" t="s">
        <v>35</v>
      </c>
      <c r="W1" s="40" t="s">
        <v>36</v>
      </c>
      <c r="X1" s="41" t="s">
        <v>37</v>
      </c>
    </row>
    <row r="2" spans="1:24">
      <c r="A2" s="4" t="s">
        <v>38</v>
      </c>
      <c r="B2" s="4">
        <v>20000</v>
      </c>
      <c r="C2" s="4" t="s">
        <v>39</v>
      </c>
      <c r="D2" s="36">
        <v>0</v>
      </c>
      <c r="E2" s="4" t="s">
        <v>40</v>
      </c>
      <c r="F2" s="36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2">
        <v>45051</v>
      </c>
    </row>
    <row r="3" spans="1:24">
      <c r="A3" s="4" t="s">
        <v>41</v>
      </c>
      <c r="B3" s="4">
        <v>20002</v>
      </c>
      <c r="C3" s="4" t="s">
        <v>39</v>
      </c>
      <c r="D3" s="36">
        <v>0</v>
      </c>
      <c r="E3" s="4" t="s">
        <v>40</v>
      </c>
      <c r="F3" s="36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2">
        <v>45048</v>
      </c>
    </row>
    <row r="4" spans="1:24">
      <c r="A4" s="4" t="s">
        <v>42</v>
      </c>
      <c r="B4" s="4">
        <v>20004</v>
      </c>
      <c r="C4" s="4" t="s">
        <v>39</v>
      </c>
      <c r="D4" s="36">
        <v>0</v>
      </c>
      <c r="E4" s="4" t="s">
        <v>40</v>
      </c>
      <c r="F4" s="36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2">
        <v>45055</v>
      </c>
    </row>
    <row r="5" spans="1:24">
      <c r="A5" s="4" t="s">
        <v>43</v>
      </c>
      <c r="B5" s="4">
        <v>20006</v>
      </c>
      <c r="C5" s="4" t="s">
        <v>39</v>
      </c>
      <c r="D5" s="36">
        <v>0</v>
      </c>
      <c r="E5" s="4" t="s">
        <v>40</v>
      </c>
      <c r="F5" s="36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2">
        <v>45059</v>
      </c>
    </row>
    <row r="6" spans="1:24">
      <c r="A6" s="4" t="s">
        <v>44</v>
      </c>
      <c r="B6" s="4">
        <v>20008</v>
      </c>
      <c r="C6" s="4" t="s">
        <v>39</v>
      </c>
      <c r="D6" s="36">
        <v>0</v>
      </c>
      <c r="E6" s="4" t="s">
        <v>40</v>
      </c>
      <c r="F6" s="36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2">
        <v>45076</v>
      </c>
    </row>
    <row r="7" spans="1:24">
      <c r="A7" s="4" t="s">
        <v>45</v>
      </c>
      <c r="B7" s="4">
        <v>20010</v>
      </c>
      <c r="C7" s="4" t="s">
        <v>39</v>
      </c>
      <c r="D7" s="36">
        <v>0</v>
      </c>
      <c r="E7" s="4" t="s">
        <v>40</v>
      </c>
      <c r="F7" s="36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2">
        <v>45057</v>
      </c>
    </row>
    <row r="8" spans="1:24">
      <c r="A8" s="4" t="s">
        <v>46</v>
      </c>
      <c r="B8" s="4">
        <v>20012</v>
      </c>
      <c r="C8" s="4" t="s">
        <v>39</v>
      </c>
      <c r="D8" s="36">
        <v>0</v>
      </c>
      <c r="E8" s="4" t="s">
        <v>40</v>
      </c>
      <c r="F8" s="36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2">
        <v>45052</v>
      </c>
    </row>
    <row r="9" spans="1:24">
      <c r="A9" s="4" t="s">
        <v>47</v>
      </c>
      <c r="B9" s="4">
        <v>20014</v>
      </c>
      <c r="C9" s="4" t="s">
        <v>39</v>
      </c>
      <c r="D9" s="36">
        <v>0</v>
      </c>
      <c r="E9" s="4" t="s">
        <v>40</v>
      </c>
      <c r="F9" s="36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2">
        <v>45098</v>
      </c>
    </row>
    <row r="10" spans="1:24">
      <c r="A10" s="4" t="s">
        <v>48</v>
      </c>
      <c r="B10" s="4">
        <v>20016</v>
      </c>
      <c r="C10" s="4" t="s">
        <v>39</v>
      </c>
      <c r="D10" s="36">
        <v>0</v>
      </c>
      <c r="E10" s="4" t="s">
        <v>40</v>
      </c>
      <c r="F10" s="36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2">
        <v>45092</v>
      </c>
    </row>
    <row r="11" spans="1:24">
      <c r="A11" s="4" t="s">
        <v>49</v>
      </c>
      <c r="B11" s="4">
        <v>20018</v>
      </c>
      <c r="C11" s="4" t="s">
        <v>39</v>
      </c>
      <c r="D11" s="36">
        <v>0</v>
      </c>
      <c r="E11" s="4" t="s">
        <v>40</v>
      </c>
      <c r="F11" s="36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2">
        <v>45104</v>
      </c>
    </row>
    <row r="12" spans="1:24">
      <c r="A12" s="4" t="s">
        <v>50</v>
      </c>
      <c r="B12" s="4">
        <v>20020</v>
      </c>
      <c r="C12" s="4" t="s">
        <v>39</v>
      </c>
      <c r="D12" s="36">
        <v>0</v>
      </c>
      <c r="E12" s="4" t="s">
        <v>40</v>
      </c>
      <c r="F12" s="36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2">
        <v>45116</v>
      </c>
    </row>
    <row r="13" spans="1:24">
      <c r="A13" s="4" t="s">
        <v>51</v>
      </c>
      <c r="B13" s="4">
        <v>20022</v>
      </c>
      <c r="C13" s="4" t="s">
        <v>39</v>
      </c>
      <c r="D13" s="36">
        <v>0</v>
      </c>
      <c r="E13" s="4" t="s">
        <v>40</v>
      </c>
      <c r="F13" s="36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2">
        <v>45110</v>
      </c>
    </row>
    <row r="14" spans="1:24">
      <c r="A14" s="4" t="s">
        <v>52</v>
      </c>
      <c r="B14" s="4">
        <v>20024</v>
      </c>
      <c r="C14" s="4" t="s">
        <v>39</v>
      </c>
      <c r="D14" s="36">
        <v>0</v>
      </c>
      <c r="E14" s="4" t="s">
        <v>40</v>
      </c>
      <c r="F14" s="36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2">
        <v>45095</v>
      </c>
    </row>
    <row r="15" spans="1:24">
      <c r="A15" s="4" t="s">
        <v>53</v>
      </c>
      <c r="B15" s="4">
        <v>20026</v>
      </c>
      <c r="C15" s="4" t="s">
        <v>39</v>
      </c>
      <c r="D15" s="36">
        <v>0</v>
      </c>
      <c r="E15" s="4" t="s">
        <v>40</v>
      </c>
      <c r="F15" s="36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2">
        <v>45113</v>
      </c>
    </row>
    <row r="16" spans="1:24">
      <c r="A16" s="4" t="s">
        <v>54</v>
      </c>
      <c r="B16" s="4">
        <v>20028</v>
      </c>
      <c r="C16" s="4" t="s">
        <v>39</v>
      </c>
      <c r="D16" s="36">
        <v>0</v>
      </c>
      <c r="E16" s="4" t="s">
        <v>40</v>
      </c>
      <c r="F16" s="36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2">
        <v>45063</v>
      </c>
    </row>
    <row r="17" spans="1:24">
      <c r="A17" s="4" t="s">
        <v>55</v>
      </c>
      <c r="B17" s="4">
        <v>20030</v>
      </c>
      <c r="C17" s="4" t="s">
        <v>39</v>
      </c>
      <c r="D17" s="36">
        <v>0</v>
      </c>
      <c r="E17" s="4" t="s">
        <v>40</v>
      </c>
      <c r="F17" s="36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2">
        <v>45071</v>
      </c>
    </row>
    <row r="18" spans="1:24">
      <c r="A18" s="4" t="s">
        <v>56</v>
      </c>
      <c r="B18" s="4">
        <v>20032</v>
      </c>
      <c r="C18" s="4" t="s">
        <v>39</v>
      </c>
      <c r="D18" s="36">
        <v>0</v>
      </c>
      <c r="E18" s="4" t="s">
        <v>40</v>
      </c>
      <c r="F18" s="36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2">
        <v>45085</v>
      </c>
    </row>
    <row r="19" spans="1:24">
      <c r="A19" s="4" t="s">
        <v>57</v>
      </c>
      <c r="B19" s="4">
        <v>20034</v>
      </c>
      <c r="C19" s="4" t="s">
        <v>39</v>
      </c>
      <c r="D19" s="36">
        <v>0</v>
      </c>
      <c r="E19" s="4" t="s">
        <v>40</v>
      </c>
      <c r="F19" s="36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2">
        <v>45099</v>
      </c>
    </row>
    <row r="20" spans="1:24">
      <c r="A20" s="4" t="s">
        <v>58</v>
      </c>
      <c r="B20" s="4">
        <v>20036</v>
      </c>
      <c r="C20" s="4" t="s">
        <v>39</v>
      </c>
      <c r="D20" s="36">
        <v>0</v>
      </c>
      <c r="E20" s="4" t="s">
        <v>40</v>
      </c>
      <c r="F20" s="36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2">
        <v>45091</v>
      </c>
    </row>
    <row r="21" spans="1:24">
      <c r="A21" s="4" t="s">
        <v>59</v>
      </c>
      <c r="B21" s="4">
        <v>20038</v>
      </c>
      <c r="C21" s="4" t="s">
        <v>39</v>
      </c>
      <c r="D21" s="36">
        <v>0</v>
      </c>
      <c r="E21" s="4" t="s">
        <v>40</v>
      </c>
      <c r="F21" s="36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2">
        <v>45079</v>
      </c>
    </row>
    <row r="22" spans="1:24">
      <c r="A22" s="4" t="s">
        <v>60</v>
      </c>
      <c r="B22" s="4">
        <v>20040</v>
      </c>
      <c r="C22" s="4" t="s">
        <v>39</v>
      </c>
      <c r="D22" s="36">
        <v>0</v>
      </c>
      <c r="E22" s="4" t="s">
        <v>40</v>
      </c>
      <c r="F22" s="36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2">
        <v>45075</v>
      </c>
    </row>
    <row r="23" spans="1:24">
      <c r="A23" s="4" t="s">
        <v>61</v>
      </c>
      <c r="B23" s="4">
        <v>20042</v>
      </c>
      <c r="C23" s="4" t="s">
        <v>39</v>
      </c>
      <c r="D23" s="36">
        <v>0</v>
      </c>
      <c r="E23" s="4" t="s">
        <v>40</v>
      </c>
      <c r="F23" s="36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2">
        <v>45110</v>
      </c>
    </row>
    <row r="24" spans="1:24">
      <c r="A24" s="4" t="s">
        <v>62</v>
      </c>
      <c r="B24" s="4">
        <v>20044</v>
      </c>
      <c r="C24" s="4" t="s">
        <v>39</v>
      </c>
      <c r="D24" s="36">
        <v>0</v>
      </c>
      <c r="E24" s="4" t="s">
        <v>40</v>
      </c>
      <c r="F24" s="36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2">
        <v>45114</v>
      </c>
    </row>
    <row r="25" spans="1:24">
      <c r="A25" s="4" t="s">
        <v>63</v>
      </c>
      <c r="B25" s="4">
        <v>20046</v>
      </c>
      <c r="C25" s="4" t="s">
        <v>39</v>
      </c>
      <c r="D25" s="36">
        <v>0</v>
      </c>
      <c r="E25" s="4" t="s">
        <v>40</v>
      </c>
      <c r="F25" s="36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2">
        <v>45118</v>
      </c>
    </row>
    <row r="26" spans="1:24">
      <c r="A26" s="4" t="s">
        <v>64</v>
      </c>
      <c r="B26" s="4">
        <v>20048</v>
      </c>
      <c r="C26" s="4" t="s">
        <v>39</v>
      </c>
      <c r="D26" s="36">
        <v>0</v>
      </c>
      <c r="E26" s="4" t="s">
        <v>40</v>
      </c>
      <c r="F26" s="36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2">
        <v>45142</v>
      </c>
    </row>
    <row r="27" spans="1:24">
      <c r="A27" s="4" t="s">
        <v>65</v>
      </c>
      <c r="B27" s="4">
        <v>20050</v>
      </c>
      <c r="C27" s="4" t="s">
        <v>39</v>
      </c>
      <c r="D27" s="36">
        <v>0</v>
      </c>
      <c r="E27" s="4" t="s">
        <v>40</v>
      </c>
      <c r="F27" s="36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2">
        <v>45146</v>
      </c>
    </row>
    <row r="28" spans="1:24">
      <c r="A28" s="4" t="s">
        <v>66</v>
      </c>
      <c r="B28" s="4">
        <v>20052</v>
      </c>
      <c r="C28" s="4" t="s">
        <v>39</v>
      </c>
      <c r="D28" s="36">
        <v>0</v>
      </c>
      <c r="E28" s="4" t="s">
        <v>40</v>
      </c>
      <c r="F28" s="36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2">
        <v>45108</v>
      </c>
    </row>
    <row r="29" spans="1:24">
      <c r="A29" s="4" t="s">
        <v>67</v>
      </c>
      <c r="B29" s="4">
        <v>20054</v>
      </c>
      <c r="C29" s="4" t="s">
        <v>39</v>
      </c>
      <c r="D29" s="36">
        <v>0</v>
      </c>
      <c r="E29" s="4" t="s">
        <v>40</v>
      </c>
      <c r="F29" s="36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2">
        <v>45153</v>
      </c>
    </row>
    <row r="30" spans="1:24">
      <c r="A30" s="4" t="s">
        <v>68</v>
      </c>
      <c r="B30" s="4">
        <v>20058</v>
      </c>
      <c r="C30" s="4" t="s">
        <v>39</v>
      </c>
      <c r="D30" s="36">
        <v>0</v>
      </c>
      <c r="E30" s="4" t="s">
        <v>40</v>
      </c>
      <c r="F30" s="36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2">
        <v>45150</v>
      </c>
    </row>
    <row r="31" spans="1:24">
      <c r="A31" s="4" t="s">
        <v>69</v>
      </c>
      <c r="B31" s="4">
        <v>20060</v>
      </c>
      <c r="C31" s="4" t="s">
        <v>39</v>
      </c>
      <c r="D31" s="36">
        <v>0</v>
      </c>
      <c r="E31" s="4" t="s">
        <v>40</v>
      </c>
      <c r="F31" s="36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2">
        <v>45157</v>
      </c>
    </row>
    <row r="32" spans="1:24">
      <c r="A32" s="4" t="s">
        <v>70</v>
      </c>
      <c r="B32" s="4">
        <v>21000</v>
      </c>
      <c r="C32" s="4" t="s">
        <v>39</v>
      </c>
      <c r="D32" s="36">
        <v>0</v>
      </c>
      <c r="E32" s="4" t="s">
        <v>40</v>
      </c>
      <c r="F32" s="36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2">
        <v>45143</v>
      </c>
    </row>
    <row r="33" spans="1:24">
      <c r="A33" s="4" t="s">
        <v>71</v>
      </c>
      <c r="B33" s="4">
        <v>21002</v>
      </c>
      <c r="C33" s="4" t="s">
        <v>39</v>
      </c>
      <c r="D33" s="36">
        <v>0</v>
      </c>
      <c r="E33" s="4" t="s">
        <v>40</v>
      </c>
      <c r="F33" s="36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2">
        <v>45166</v>
      </c>
    </row>
    <row r="34" spans="1:24">
      <c r="A34" s="4" t="s">
        <v>72</v>
      </c>
      <c r="B34" s="4">
        <v>21004</v>
      </c>
      <c r="C34" s="4" t="s">
        <v>39</v>
      </c>
      <c r="D34" s="36">
        <v>0</v>
      </c>
      <c r="E34" s="4" t="s">
        <v>40</v>
      </c>
      <c r="F34" s="36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2">
        <v>45162</v>
      </c>
    </row>
    <row r="35" spans="1:24">
      <c r="A35" s="4" t="s">
        <v>73</v>
      </c>
      <c r="B35" s="4">
        <v>21006</v>
      </c>
      <c r="C35" s="4" t="s">
        <v>39</v>
      </c>
      <c r="D35" s="36">
        <v>0</v>
      </c>
      <c r="E35" s="4" t="s">
        <v>40</v>
      </c>
      <c r="F35" s="36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2">
        <v>45160</v>
      </c>
    </row>
    <row r="36" spans="1:24">
      <c r="A36" s="4" t="s">
        <v>74</v>
      </c>
      <c r="B36" s="4">
        <v>21008</v>
      </c>
      <c r="C36" s="4" t="s">
        <v>39</v>
      </c>
      <c r="D36" s="36">
        <v>0</v>
      </c>
      <c r="E36" s="4" t="s">
        <v>40</v>
      </c>
      <c r="F36" s="36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2">
        <v>45179</v>
      </c>
    </row>
    <row r="37" spans="1:24">
      <c r="A37" s="4" t="s">
        <v>75</v>
      </c>
      <c r="B37" s="4">
        <v>21010</v>
      </c>
      <c r="C37" s="4" t="s">
        <v>39</v>
      </c>
      <c r="D37" s="36">
        <v>0</v>
      </c>
      <c r="E37" s="4" t="s">
        <v>40</v>
      </c>
      <c r="F37" s="36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2">
        <v>45157</v>
      </c>
    </row>
    <row r="38" spans="1:24">
      <c r="A38" s="4" t="s">
        <v>76</v>
      </c>
      <c r="B38" s="4">
        <v>21012</v>
      </c>
      <c r="C38" s="4" t="s">
        <v>39</v>
      </c>
      <c r="D38" s="36">
        <v>0</v>
      </c>
      <c r="E38" s="4" t="s">
        <v>40</v>
      </c>
      <c r="F38" s="36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2">
        <v>45143</v>
      </c>
    </row>
    <row r="39" spans="1:24">
      <c r="A39" s="4" t="s">
        <v>77</v>
      </c>
      <c r="B39" s="4">
        <v>21014</v>
      </c>
      <c r="C39" s="4" t="s">
        <v>39</v>
      </c>
      <c r="D39" s="36">
        <v>0</v>
      </c>
      <c r="E39" s="4" t="s">
        <v>40</v>
      </c>
      <c r="F39" s="36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2">
        <v>45166</v>
      </c>
    </row>
    <row r="40" spans="1:24">
      <c r="A40" s="4" t="s">
        <v>78</v>
      </c>
      <c r="B40" s="4">
        <v>21016</v>
      </c>
      <c r="C40" s="4" t="s">
        <v>39</v>
      </c>
      <c r="D40" s="36">
        <v>0</v>
      </c>
      <c r="E40" s="4" t="s">
        <v>40</v>
      </c>
      <c r="F40" s="36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2">
        <v>45162</v>
      </c>
    </row>
    <row r="42" spans="8:8">
      <c r="H42" s="4">
        <f>SUMIFS(H2:H40,H2:H40,"&gt;20")</f>
        <v>1473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G1:W40">
    <cfRule type="cellIs" dxfId="1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6" sqref="B6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32" t="s">
        <v>79</v>
      </c>
      <c r="B1" s="32" t="s">
        <v>80</v>
      </c>
      <c r="C1" s="32" t="s">
        <v>81</v>
      </c>
      <c r="E1" s="32" t="s">
        <v>82</v>
      </c>
    </row>
    <row r="2" spans="1:3">
      <c r="A2" s="1"/>
      <c r="B2" s="33" t="s">
        <v>83</v>
      </c>
      <c r="C2" s="1"/>
    </row>
    <row r="3" spans="1:5">
      <c r="A3" s="34">
        <v>1</v>
      </c>
      <c r="B3" s="1" t="s">
        <v>84</v>
      </c>
      <c r="C3" s="1" t="s">
        <v>85</v>
      </c>
      <c r="E3" s="4">
        <v>5</v>
      </c>
    </row>
    <row r="4" spans="1:5">
      <c r="A4" s="34">
        <v>2</v>
      </c>
      <c r="B4" s="1" t="s">
        <v>86</v>
      </c>
      <c r="C4" s="1"/>
      <c r="E4" s="4">
        <v>5</v>
      </c>
    </row>
    <row r="5" spans="1:5">
      <c r="A5" s="34">
        <v>3</v>
      </c>
      <c r="B5" s="1" t="s">
        <v>87</v>
      </c>
      <c r="C5" s="35" t="s">
        <v>88</v>
      </c>
      <c r="E5" s="4">
        <v>10</v>
      </c>
    </row>
    <row r="6" spans="1:5">
      <c r="A6" s="34">
        <v>4</v>
      </c>
      <c r="B6" s="1" t="s">
        <v>89</v>
      </c>
      <c r="C6" s="1"/>
      <c r="E6" s="4">
        <v>5</v>
      </c>
    </row>
    <row r="7" ht="12.75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topLeftCell="A17" workbookViewId="0">
      <selection activeCell="I28" sqref="I28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90</v>
      </c>
    </row>
    <row r="2" s="3" customFormat="1" ht="21" spans="2:2">
      <c r="B2" s="3" t="s">
        <v>91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7" t="s">
        <v>92</v>
      </c>
      <c r="B4" s="4"/>
      <c r="C4" s="4"/>
      <c r="D4" s="4"/>
      <c r="E4" s="4"/>
      <c r="F4" s="4"/>
      <c r="G4" s="4"/>
    </row>
    <row r="5" ht="15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5" spans="1:6">
      <c r="A6" s="13" t="s">
        <v>38</v>
      </c>
      <c r="B6" s="14">
        <f>VLOOKUP($A6,Dataset!$A$1:$X$40,MATCH(B$5,Dataset!$A$1:$X$1,0),0)</f>
        <v>2.7</v>
      </c>
      <c r="C6" s="14">
        <f>VLOOKUP($A6,Dataset!$A$1:$X$40,MATCH(C$5,Dataset!$A$1:$X$1,0),0)</f>
        <v>7.6</v>
      </c>
      <c r="D6" s="14">
        <f>VLOOKUP($A6,Dataset!$A$1:$X$40,MATCH(D$5,Dataset!$A$1:$X$1,0),0)</f>
        <v>4.2</v>
      </c>
      <c r="E6" s="14">
        <f>VLOOKUP($A6,Dataset!$A$1:$X$40,MATCH(E$5,Dataset!$A$1:$X$1,0),0)</f>
        <v>8.9</v>
      </c>
      <c r="F6" s="14">
        <f>VLOOKUP($A6,Dataset!$A$1:$X$40,MATCH(F$5,Dataset!$A$1:$X$1,0),0)</f>
        <v>4.2</v>
      </c>
    </row>
    <row r="7" ht="15" spans="1:6">
      <c r="A7" s="13" t="s">
        <v>41</v>
      </c>
      <c r="B7" s="14">
        <f>VLOOKUP($A7,Dataset!$A$1:$X$40,MATCH(B$5,Dataset!$A$1:$X$1,0),0)</f>
        <v>2.7</v>
      </c>
      <c r="C7" s="14">
        <f>VLOOKUP($A7,Dataset!$A$1:$X$40,MATCH(C$5,Dataset!$A$1:$X$1,0),0)</f>
        <v>7.6</v>
      </c>
      <c r="D7" s="14">
        <f>VLOOKUP($A7,Dataset!$A$1:$X$40,MATCH(D$5,Dataset!$A$1:$X$1,0),0)</f>
        <v>4.2</v>
      </c>
      <c r="E7" s="14">
        <f>VLOOKUP($A7,Dataset!$A$1:$X$40,MATCH(E$5,Dataset!$A$1:$X$1,0),0)</f>
        <v>8.9</v>
      </c>
      <c r="F7" s="14">
        <f>VLOOKUP($A7,Dataset!$A$1:$X$40,MATCH(F$5,Dataset!$A$1:$X$1,0),0)</f>
        <v>4.2</v>
      </c>
    </row>
    <row r="8" ht="15" spans="1:6">
      <c r="A8" s="13" t="s">
        <v>42</v>
      </c>
      <c r="B8" s="14">
        <f>VLOOKUP($A8,Dataset!$A$1:$X$40,MATCH(B$5,Dataset!$A$1:$X$1,0),0)</f>
        <v>3.6</v>
      </c>
      <c r="C8" s="14">
        <f>VLOOKUP($A8,Dataset!$A$1:$X$40,MATCH(C$5,Dataset!$A$1:$X$1,0),0)</f>
        <v>11.1</v>
      </c>
      <c r="D8" s="14">
        <f>VLOOKUP($A8,Dataset!$A$1:$X$40,MATCH(D$5,Dataset!$A$1:$X$1,0),0)</f>
        <v>5.8</v>
      </c>
      <c r="E8" s="14">
        <f>VLOOKUP($A8,Dataset!$A$1:$X$40,MATCH(E$5,Dataset!$A$1:$X$1,0),0)</f>
        <v>12.2</v>
      </c>
      <c r="F8" s="14">
        <f>VLOOKUP($A8,Dataset!$A$1:$X$40,MATCH(F$5,Dataset!$A$1:$X$1,0),0)</f>
        <v>5.8</v>
      </c>
    </row>
    <row r="9" ht="15" spans="1:6">
      <c r="A9" s="13" t="s">
        <v>43</v>
      </c>
      <c r="B9" s="14">
        <f>VLOOKUP($A9,Dataset!$A$1:$X$40,MATCH(B$5,Dataset!$A$1:$X$1,0),0)</f>
        <v>4.9</v>
      </c>
      <c r="C9" s="14">
        <f>VLOOKUP($A9,Dataset!$A$1:$X$40,MATCH(C$5,Dataset!$A$1:$X$1,0),0)</f>
        <v>13.3</v>
      </c>
      <c r="D9" s="14">
        <f>VLOOKUP($A9,Dataset!$A$1:$X$40,MATCH(D$5,Dataset!$A$1:$X$1,0),0)</f>
        <v>8.1</v>
      </c>
      <c r="E9" s="14">
        <f>VLOOKUP($A9,Dataset!$A$1:$X$40,MATCH(E$5,Dataset!$A$1:$X$1,0),0)</f>
        <v>17</v>
      </c>
      <c r="F9" s="14">
        <f>VLOOKUP($A9,Dataset!$A$1:$X$40,MATCH(F$5,Dataset!$A$1:$X$1,0),0)</f>
        <v>8.1</v>
      </c>
    </row>
    <row r="10" ht="15" spans="1:6">
      <c r="A10" s="13" t="s">
        <v>46</v>
      </c>
      <c r="B10" s="14">
        <f>VLOOKUP($A10,Dataset!$A$1:$X$40,MATCH(B$5,Dataset!$A$1:$X$1,0),0)</f>
        <v>9.4</v>
      </c>
      <c r="C10" s="14">
        <f>VLOOKUP($A10,Dataset!$A$1:$X$40,MATCH(C$5,Dataset!$A$1:$X$1,0),0)</f>
        <v>28.3</v>
      </c>
      <c r="D10" s="14">
        <f>VLOOKUP($A10,Dataset!$A$1:$X$40,MATCH(D$5,Dataset!$A$1:$X$1,0),0)</f>
        <v>16.1</v>
      </c>
      <c r="E10" s="14">
        <f>VLOOKUP($A10,Dataset!$A$1:$X$40,MATCH(E$5,Dataset!$A$1:$X$1,0),0)</f>
        <v>32.8</v>
      </c>
      <c r="F10" s="14">
        <f>VLOOKUP($A10,Dataset!$A$1:$X$40,MATCH(F$5,Dataset!$A$1:$X$1,0),0)</f>
        <v>16.1</v>
      </c>
    </row>
    <row r="11" ht="15" spans="1:6">
      <c r="A11" s="13" t="s">
        <v>47</v>
      </c>
      <c r="B11" s="14">
        <f>VLOOKUP($A11,Dataset!$A$1:$X$40,MATCH(B$5,Dataset!$A$1:$X$1,0),0)</f>
        <v>11.6</v>
      </c>
      <c r="C11" s="14">
        <f>VLOOKUP($A11,Dataset!$A$1:$X$40,MATCH(C$5,Dataset!$A$1:$X$1,0),0)</f>
        <v>35.2</v>
      </c>
      <c r="D11" s="14">
        <f>VLOOKUP($A11,Dataset!$A$1:$X$40,MATCH(D$5,Dataset!$A$1:$X$1,0),0)</f>
        <v>21.3</v>
      </c>
      <c r="E11" s="14">
        <f>VLOOKUP($A11,Dataset!$A$1:$X$40,MATCH(E$5,Dataset!$A$1:$X$1,0),0)</f>
        <v>43</v>
      </c>
      <c r="F11" s="14">
        <f>VLOOKUP($A11,Dataset!$A$1:$X$40,MATCH(F$5,Dataset!$A$1:$X$1,0),0)</f>
        <v>21.3</v>
      </c>
    </row>
    <row r="12" ht="15" spans="1:6">
      <c r="A12" s="13" t="s">
        <v>49</v>
      </c>
      <c r="B12" s="14">
        <f>VLOOKUP($A12,Dataset!$A$1:$X$40,MATCH(B$5,Dataset!$A$1:$X$1,0),0)</f>
        <v>18.4</v>
      </c>
      <c r="C12" s="14">
        <f>VLOOKUP($A12,Dataset!$A$1:$X$40,MATCH(C$5,Dataset!$A$1:$X$1,0),0)</f>
        <v>55.6</v>
      </c>
      <c r="D12" s="14">
        <f>VLOOKUP($A12,Dataset!$A$1:$X$40,MATCH(D$5,Dataset!$A$1:$X$1,0),0)</f>
        <v>33.8</v>
      </c>
      <c r="E12" s="14">
        <f>VLOOKUP($A12,Dataset!$A$1:$X$40,MATCH(E$5,Dataset!$A$1:$X$1,0),0)</f>
        <v>67.9</v>
      </c>
      <c r="F12" s="14">
        <f>VLOOKUP($A12,Dataset!$A$1:$X$40,MATCH(F$5,Dataset!$A$1:$X$1,0),0)</f>
        <v>33.8</v>
      </c>
    </row>
    <row r="13" ht="15" spans="1:6">
      <c r="A13" s="13" t="s">
        <v>50</v>
      </c>
      <c r="B13" s="14">
        <f>VLOOKUP($A13,Dataset!$A$1:$X$40,MATCH(B$5,Dataset!$A$1:$X$1,0),0)</f>
        <v>0</v>
      </c>
      <c r="C13" s="14">
        <f>VLOOKUP($A13,Dataset!$A$1:$X$40,MATCH(C$5,Dataset!$A$1:$X$1,0),0)</f>
        <v>0</v>
      </c>
      <c r="D13" s="14">
        <f>VLOOKUP($A13,Dataset!$A$1:$X$40,MATCH(D$5,Dataset!$A$1:$X$1,0),0)</f>
        <v>0</v>
      </c>
      <c r="E13" s="14">
        <f>VLOOKUP($A13,Dataset!$A$1:$X$40,MATCH(E$5,Dataset!$A$1:$X$1,0),0)</f>
        <v>0</v>
      </c>
      <c r="F13" s="14">
        <f>VLOOKUP($A13,Dataset!$A$1:$X$40,MATCH(F$5,Dataset!$A$1:$X$1,0),0)</f>
        <v>0</v>
      </c>
    </row>
    <row r="14" ht="15" spans="1:6">
      <c r="A14" s="13" t="s">
        <v>51</v>
      </c>
      <c r="B14" s="14">
        <f>VLOOKUP($A14,Dataset!$A$1:$X$40,MATCH(B$5,Dataset!$A$1:$X$1,0),0)</f>
        <v>21.9</v>
      </c>
      <c r="C14" s="14">
        <f>VLOOKUP($A14,Dataset!$A$1:$X$40,MATCH(C$5,Dataset!$A$1:$X$1,0),0)</f>
        <v>61.5</v>
      </c>
      <c r="D14" s="14">
        <f>VLOOKUP($A14,Dataset!$A$1:$X$40,MATCH(D$5,Dataset!$A$1:$X$1,0),0)</f>
        <v>40.1</v>
      </c>
      <c r="E14" s="14">
        <f>VLOOKUP($A14,Dataset!$A$1:$X$40,MATCH(E$5,Dataset!$A$1:$X$1,0),0)</f>
        <v>76.6</v>
      </c>
      <c r="F14" s="14">
        <f>VLOOKUP($A14,Dataset!$A$1:$X$40,MATCH(F$5,Dataset!$A$1:$X$1,0),0)</f>
        <v>40.1</v>
      </c>
    </row>
    <row r="15" ht="15" spans="1:6">
      <c r="A15" s="13" t="s">
        <v>53</v>
      </c>
      <c r="B15" s="14">
        <f>VLOOKUP($A15,Dataset!$A$1:$X$40,MATCH(B$5,Dataset!$A$1:$X$1,0),0)</f>
        <v>26.8</v>
      </c>
      <c r="C15" s="14">
        <f>VLOOKUP($A15,Dataset!$A$1:$X$40,MATCH(C$5,Dataset!$A$1:$X$1,0),0)</f>
        <v>79.6</v>
      </c>
      <c r="D15" s="14">
        <f>VLOOKUP($A15,Dataset!$A$1:$X$40,MATCH(D$5,Dataset!$A$1:$X$1,0),0)</f>
        <v>47.9</v>
      </c>
      <c r="E15" s="14">
        <f>VLOOKUP($A15,Dataset!$A$1:$X$40,MATCH(E$5,Dataset!$A$1:$X$1,0),0)</f>
        <v>96.8</v>
      </c>
      <c r="F15" s="14">
        <f>VLOOKUP($A15,Dataset!$A$1:$X$40,MATCH(F$5,Dataset!$A$1:$X$1,0),0)</f>
        <v>47.9</v>
      </c>
    </row>
    <row r="16" ht="15" spans="1:6">
      <c r="A16" s="13" t="s">
        <v>55</v>
      </c>
      <c r="B16" s="14">
        <f>VLOOKUP($A16,Dataset!$A$1:$X$40,MATCH(B$5,Dataset!$A$1:$X$1,0),0)</f>
        <v>28.5</v>
      </c>
      <c r="C16" s="14">
        <f>VLOOKUP($A16,Dataset!$A$1:$X$40,MATCH(C$5,Dataset!$A$1:$X$1,0),0)</f>
        <v>85.4</v>
      </c>
      <c r="D16" s="14">
        <f>VLOOKUP($A16,Dataset!$A$1:$X$40,MATCH(D$5,Dataset!$A$1:$X$1,0),0)</f>
        <v>52.3</v>
      </c>
      <c r="E16" s="14">
        <f>VLOOKUP($A16,Dataset!$A$1:$X$40,MATCH(E$5,Dataset!$A$1:$X$1,0),0)</f>
        <v>106.1</v>
      </c>
      <c r="F16" s="14">
        <f>VLOOKUP($A16,Dataset!$A$1:$X$40,MATCH(F$5,Dataset!$A$1:$X$1,0),0)</f>
        <v>52.3</v>
      </c>
    </row>
    <row r="17" ht="15" spans="1:6">
      <c r="A17" s="13" t="s">
        <v>57</v>
      </c>
      <c r="B17" s="14">
        <f>VLOOKUP($A17,Dataset!$A$1:$X$40,MATCH(B$5,Dataset!$A$1:$X$1,0),0)</f>
        <v>30.7</v>
      </c>
      <c r="C17" s="14">
        <f>VLOOKUP($A17,Dataset!$A$1:$X$40,MATCH(C$5,Dataset!$A$1:$X$1,0),0)</f>
        <v>92.1</v>
      </c>
      <c r="D17" s="14">
        <f>VLOOKUP($A17,Dataset!$A$1:$X$40,MATCH(D$5,Dataset!$A$1:$X$1,0),0)</f>
        <v>57</v>
      </c>
      <c r="E17" s="14">
        <f>VLOOKUP($A17,Dataset!$A$1:$X$40,MATCH(E$5,Dataset!$A$1:$X$1,0),0)</f>
        <v>115.1</v>
      </c>
      <c r="F17" s="14">
        <f>VLOOKUP($A17,Dataset!$A$1:$X$40,MATCH(F$5,Dataset!$A$1:$X$1,0),0)</f>
        <v>57</v>
      </c>
    </row>
    <row r="18" ht="15" spans="1:6">
      <c r="A18" s="13" t="s">
        <v>58</v>
      </c>
      <c r="B18" s="14">
        <f>VLOOKUP($A18,Dataset!$A$1:$X$40,MATCH(B$5,Dataset!$A$1:$X$1,0),0)</f>
        <v>33.8</v>
      </c>
      <c r="C18" s="14">
        <f>VLOOKUP($A18,Dataset!$A$1:$X$40,MATCH(C$5,Dataset!$A$1:$X$1,0),0)</f>
        <v>101.3</v>
      </c>
      <c r="D18" s="14">
        <f>VLOOKUP($A18,Dataset!$A$1:$X$40,MATCH(D$5,Dataset!$A$1:$X$1,0),0)</f>
        <v>61.4</v>
      </c>
      <c r="E18" s="14">
        <f>VLOOKUP($A18,Dataset!$A$1:$X$40,MATCH(E$5,Dataset!$A$1:$X$1,0),0)</f>
        <v>124.4</v>
      </c>
      <c r="F18" s="14">
        <f>VLOOKUP($A18,Dataset!$A$1:$X$40,MATCH(F$5,Dataset!$A$1:$X$1,0),0)</f>
        <v>61.4</v>
      </c>
    </row>
    <row r="19" ht="15" spans="1:6">
      <c r="A19" s="13" t="s">
        <v>59</v>
      </c>
      <c r="B19" s="14">
        <f>VLOOKUP($A19,Dataset!$A$1:$X$40,MATCH(B$5,Dataset!$A$1:$X$1,0),0)</f>
        <v>34.7</v>
      </c>
      <c r="C19" s="14">
        <f>VLOOKUP($A19,Dataset!$A$1:$X$40,MATCH(C$5,Dataset!$A$1:$X$1,0),0)</f>
        <v>106.1</v>
      </c>
      <c r="D19" s="14">
        <f>VLOOKUP($A19,Dataset!$A$1:$X$40,MATCH(D$5,Dataset!$A$1:$X$1,0),0)</f>
        <v>63.6</v>
      </c>
      <c r="E19" s="14">
        <f>VLOOKUP($A19,Dataset!$A$1:$X$40,MATCH(E$5,Dataset!$A$1:$X$1,0),0)</f>
        <v>128.6</v>
      </c>
      <c r="F19" s="14">
        <f>VLOOKUP($A19,Dataset!$A$1:$X$40,MATCH(F$5,Dataset!$A$1:$X$1,0),0)</f>
        <v>63.6</v>
      </c>
    </row>
    <row r="20" ht="15" spans="1:6">
      <c r="A20" s="13" t="s">
        <v>64</v>
      </c>
      <c r="B20" s="14">
        <f>VLOOKUP($A20,Dataset!$A$1:$X$40,MATCH(B$5,Dataset!$A$1:$X$1,0),0)</f>
        <v>0</v>
      </c>
      <c r="C20" s="14">
        <f>VLOOKUP($A20,Dataset!$A$1:$X$40,MATCH(C$5,Dataset!$A$1:$X$1,0),0)</f>
        <v>0</v>
      </c>
      <c r="D20" s="14">
        <f>VLOOKUP($A20,Dataset!$A$1:$X$40,MATCH(D$5,Dataset!$A$1:$X$1,0),0)</f>
        <v>0</v>
      </c>
      <c r="E20" s="14">
        <f>VLOOKUP($A20,Dataset!$A$1:$X$40,MATCH(E$5,Dataset!$A$1:$X$1,0),0)</f>
        <v>0</v>
      </c>
      <c r="F20" s="14">
        <f>VLOOKUP($A20,Dataset!$A$1:$X$40,MATCH(F$5,Dataset!$A$1:$X$1,0),0)</f>
        <v>0</v>
      </c>
    </row>
    <row r="21" ht="15" spans="1:6">
      <c r="A21" s="13" t="s">
        <v>65</v>
      </c>
      <c r="B21" s="14">
        <f>VLOOKUP($A21,Dataset!$A$1:$X$40,MATCH(B$5,Dataset!$A$1:$X$1,0),0)</f>
        <v>41.3</v>
      </c>
      <c r="C21" s="14">
        <f>VLOOKUP($A21,Dataset!$A$1:$X$40,MATCH(C$5,Dataset!$A$1:$X$1,0),0)</f>
        <v>124.4</v>
      </c>
      <c r="D21" s="14">
        <f>VLOOKUP($A21,Dataset!$A$1:$X$40,MATCH(D$5,Dataset!$A$1:$X$1,0),0)</f>
        <v>75</v>
      </c>
      <c r="E21" s="14">
        <f>VLOOKUP($A21,Dataset!$A$1:$X$40,MATCH(E$5,Dataset!$A$1:$X$1,0),0)</f>
        <v>151.5</v>
      </c>
      <c r="F21" s="14">
        <f>VLOOKUP($A21,Dataset!$A$1:$X$40,MATCH(F$5,Dataset!$A$1:$X$1,0),0)</f>
        <v>75</v>
      </c>
    </row>
    <row r="22" ht="15" spans="1:6">
      <c r="A22" s="13" t="s">
        <v>68</v>
      </c>
      <c r="B22" s="14">
        <f>VLOOKUP($A22,Dataset!$A$1:$X$40,MATCH(B$5,Dataset!$A$1:$X$1,0),0)</f>
        <v>-1</v>
      </c>
      <c r="C22" s="14">
        <f>VLOOKUP($A22,Dataset!$A$1:$X$40,MATCH(C$5,Dataset!$A$1:$X$1,0),0)</f>
        <v>-1</v>
      </c>
      <c r="D22" s="14">
        <f>VLOOKUP($A22,Dataset!$A$1:$X$40,MATCH(D$5,Dataset!$A$1:$X$1,0),0)</f>
        <v>-1</v>
      </c>
      <c r="E22" s="14">
        <f>VLOOKUP($A22,Dataset!$A$1:$X$40,MATCH(E$5,Dataset!$A$1:$X$1,0),0)</f>
        <v>-1</v>
      </c>
      <c r="F22" s="14">
        <f>VLOOKUP($A22,Dataset!$A$1:$X$40,MATCH(F$5,Dataset!$A$1:$X$1,0),0)</f>
        <v>-1</v>
      </c>
    </row>
    <row r="23" ht="15" spans="1:6">
      <c r="A23" s="13" t="s">
        <v>69</v>
      </c>
      <c r="B23" s="14">
        <f>VLOOKUP($A23,Dataset!$A$1:$X$40,MATCH(B$5,Dataset!$A$1:$X$1,0),0)</f>
        <v>45</v>
      </c>
      <c r="C23" s="14">
        <f>VLOOKUP($A23,Dataset!$A$1:$X$40,MATCH(C$5,Dataset!$A$1:$X$1,0),0)</f>
        <v>133.4</v>
      </c>
      <c r="D23" s="14">
        <f>VLOOKUP($A23,Dataset!$A$1:$X$40,MATCH(D$5,Dataset!$A$1:$X$1,0),0)</f>
        <v>79.4</v>
      </c>
      <c r="E23" s="14">
        <f>VLOOKUP($A23,Dataset!$A$1:$X$40,MATCH(E$5,Dataset!$A$1:$X$1,0),0)</f>
        <v>160.9</v>
      </c>
      <c r="F23" s="14">
        <f>VLOOKUP($A23,Dataset!$A$1:$X$40,MATCH(F$5,Dataset!$A$1:$X$1,0),0)</f>
        <v>79.4</v>
      </c>
    </row>
    <row r="24" ht="15" spans="1:6">
      <c r="A24" s="13" t="s">
        <v>70</v>
      </c>
      <c r="B24" s="14">
        <f>VLOOKUP($A24,Dataset!$A$1:$X$40,MATCH(B$5,Dataset!$A$1:$X$1,0),0)</f>
        <v>-1</v>
      </c>
      <c r="C24" s="14">
        <f>VLOOKUP($A24,Dataset!$A$1:$X$40,MATCH(C$5,Dataset!$A$1:$X$1,0),0)</f>
        <v>-1</v>
      </c>
      <c r="D24" s="14">
        <f>VLOOKUP($A24,Dataset!$A$1:$X$40,MATCH(D$5,Dataset!$A$1:$X$1,0),0)</f>
        <v>-1</v>
      </c>
      <c r="E24" s="14">
        <f>VLOOKUP($A24,Dataset!$A$1:$X$40,MATCH(E$5,Dataset!$A$1:$X$1,0),0)</f>
        <v>-1</v>
      </c>
      <c r="F24" s="14">
        <f>VLOOKUP($A24,Dataset!$A$1:$X$40,MATCH(F$5,Dataset!$A$1:$X$1,0),0)</f>
        <v>-1</v>
      </c>
    </row>
    <row r="25" ht="15" spans="1:6">
      <c r="A25" s="13" t="s">
        <v>72</v>
      </c>
      <c r="B25" s="14">
        <f>VLOOKUP($A25,Dataset!$A$1:$X$40,MATCH(B$5,Dataset!$A$1:$X$1,0),0)</f>
        <v>43.3</v>
      </c>
      <c r="C25" s="14">
        <f>VLOOKUP($A25,Dataset!$A$1:$X$40,MATCH(C$5,Dataset!$A$1:$X$1,0),0)</f>
        <v>128.6</v>
      </c>
      <c r="D25" s="14">
        <f>VLOOKUP($A25,Dataset!$A$1:$X$40,MATCH(D$5,Dataset!$A$1:$X$1,0),0)</f>
        <v>79.4</v>
      </c>
      <c r="E25" s="14">
        <f>VLOOKUP($A25,Dataset!$A$1:$X$40,MATCH(E$5,Dataset!$A$1:$X$1,0),0)</f>
        <v>160.9</v>
      </c>
      <c r="F25" s="14">
        <f>VLOOKUP($A25,Dataset!$A$1:$X$40,MATCH(F$5,Dataset!$A$1:$X$1,0),0)</f>
        <v>79.4</v>
      </c>
    </row>
    <row r="26" ht="15" spans="1:6">
      <c r="A26" s="13" t="s">
        <v>76</v>
      </c>
      <c r="B26" s="14">
        <f>VLOOKUP($A26,Dataset!$A$1:$X$40,MATCH(B$5,Dataset!$A$1:$X$1,0),0)</f>
        <v>49.1</v>
      </c>
      <c r="C26" s="14">
        <f>VLOOKUP($A26,Dataset!$A$1:$X$40,MATCH(C$5,Dataset!$A$1:$X$1,0),0)</f>
        <v>146.8</v>
      </c>
      <c r="D26" s="14">
        <f>VLOOKUP($A26,Dataset!$A$1:$X$40,MATCH(D$5,Dataset!$A$1:$X$1,0),0)</f>
        <v>90.9</v>
      </c>
      <c r="E26" s="14">
        <f>VLOOKUP($A26,Dataset!$A$1:$X$40,MATCH(E$5,Dataset!$A$1:$X$1,0),0)</f>
        <v>183.5</v>
      </c>
      <c r="F26" s="14">
        <f>VLOOKUP($A26,Dataset!$A$1:$X$40,MATCH(F$5,Dataset!$A$1:$X$1,0),0)</f>
        <v>90.9</v>
      </c>
    </row>
    <row r="27" ht="15" spans="1:6">
      <c r="A27" s="13" t="s">
        <v>78</v>
      </c>
      <c r="B27" s="14">
        <f>VLOOKUP($A27,Dataset!$A$1:$X$40,MATCH(B$5,Dataset!$A$1:$X$1,0),0)</f>
        <v>51.8</v>
      </c>
      <c r="C27" s="14">
        <f>VLOOKUP($A27,Dataset!$A$1:$X$40,MATCH(C$5,Dataset!$A$1:$X$1,0),0)</f>
        <v>156.4</v>
      </c>
      <c r="D27" s="14">
        <f>VLOOKUP($A27,Dataset!$A$1:$X$40,MATCH(D$5,Dataset!$A$1:$X$1,0),0)</f>
        <v>93.1</v>
      </c>
      <c r="E27" s="14">
        <f>VLOOKUP($A27,Dataset!$A$1:$X$40,MATCH(E$5,Dataset!$A$1:$X$1,0),0)</f>
        <v>188.1</v>
      </c>
      <c r="F27" s="14">
        <f>VLOOKUP($A27,Dataset!$A$1:$X$40,MATCH(F$5,Dataset!$A$1:$X$1,0),0)</f>
        <v>93.1</v>
      </c>
    </row>
    <row r="28" ht="15" spans="1:6">
      <c r="A28" s="19" t="s">
        <v>93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ht="15" spans="1:6">
      <c r="A29" s="19" t="s">
        <v>94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ht="15" spans="1:6">
      <c r="A30" s="19" t="s">
        <v>95</v>
      </c>
      <c r="B30" s="31">
        <f>AVERAGE(B6:B27)</f>
        <v>20.8272727272727</v>
      </c>
      <c r="C30" s="31">
        <f>AVERAGE(C6:C27)</f>
        <v>62.3772727272727</v>
      </c>
      <c r="D30" s="31">
        <f>AVERAGE(D6:D27)</f>
        <v>37.8</v>
      </c>
      <c r="E30" s="31">
        <f>AVERAGE(E6:E27)</f>
        <v>76.4181818181818</v>
      </c>
      <c r="F30" s="31">
        <f>AVERAGE(F6:F27)</f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4"/>
  <sheetViews>
    <sheetView workbookViewId="0">
      <selection activeCell="O12" sqref="O12"/>
    </sheetView>
  </sheetViews>
  <sheetFormatPr defaultColWidth="11" defaultRowHeight="15"/>
  <cols>
    <col min="1" max="1" width="39.8" style="4" customWidth="1"/>
    <col min="2" max="16384" width="11" style="4"/>
  </cols>
  <sheetData>
    <row r="1" s="3" customFormat="1" ht="21" spans="1:2">
      <c r="A1" s="2" t="s">
        <v>10</v>
      </c>
      <c r="B1" s="3" t="s">
        <v>96</v>
      </c>
    </row>
    <row r="2" customFormat="1" ht="12.75"/>
    <row r="3" s="1" customFormat="1" spans="2:2">
      <c r="B3" s="4"/>
    </row>
    <row r="4" s="1" customFormat="1" spans="2:2">
      <c r="B4" s="4" t="s">
        <v>97</v>
      </c>
    </row>
    <row r="5" ht="18.75" spans="1:2">
      <c r="A5" s="5" t="s">
        <v>98</v>
      </c>
      <c r="B5" s="20" t="s">
        <v>99</v>
      </c>
    </row>
    <row r="6" ht="18.75" spans="1:8">
      <c r="A6" s="5" t="s">
        <v>100</v>
      </c>
      <c r="B6" s="20" t="s">
        <v>101</v>
      </c>
      <c r="F6" s="4" t="s">
        <v>102</v>
      </c>
      <c r="H6" s="4" t="s">
        <v>103</v>
      </c>
    </row>
    <row r="7" ht="18.75" spans="1:14">
      <c r="A7" s="5"/>
      <c r="B7" s="20" t="s">
        <v>104</v>
      </c>
      <c r="N7" s="4" t="s">
        <v>105</v>
      </c>
    </row>
    <row r="8" spans="2:5">
      <c r="B8" s="4" t="s">
        <v>106</v>
      </c>
      <c r="E8" s="4" t="s">
        <v>107</v>
      </c>
    </row>
    <row r="9" ht="23.25" spans="1:10">
      <c r="A9" s="7" t="s">
        <v>108</v>
      </c>
      <c r="I9" s="1"/>
      <c r="J9" s="1"/>
    </row>
    <row r="10" spans="1:10">
      <c r="A10" s="23" t="s">
        <v>109</v>
      </c>
      <c r="B10" s="11" t="s">
        <v>110</v>
      </c>
      <c r="C10" s="11" t="s">
        <v>111</v>
      </c>
      <c r="D10" s="11" t="s">
        <v>112</v>
      </c>
      <c r="E10" s="11" t="s">
        <v>113</v>
      </c>
      <c r="F10" s="11" t="s">
        <v>114</v>
      </c>
      <c r="I10" s="1"/>
      <c r="J10" s="1"/>
    </row>
    <row r="11" spans="1:10">
      <c r="A11" s="17" t="s">
        <v>115</v>
      </c>
      <c r="B11" s="18">
        <v>20000</v>
      </c>
      <c r="C11" s="18" t="s">
        <v>39</v>
      </c>
      <c r="D11" s="18">
        <v>0</v>
      </c>
      <c r="E11" s="24" t="s">
        <v>40</v>
      </c>
      <c r="F11" s="24">
        <v>24</v>
      </c>
      <c r="I11" s="1"/>
      <c r="J11" s="1"/>
    </row>
    <row r="14" ht="23.25" spans="1:1">
      <c r="A14" s="7" t="s">
        <v>92</v>
      </c>
    </row>
    <row r="15" spans="1:6">
      <c r="A15" s="10" t="s">
        <v>116</v>
      </c>
      <c r="B15" s="11" t="s">
        <v>110</v>
      </c>
      <c r="C15" s="25" t="s">
        <v>111</v>
      </c>
      <c r="D15" s="11" t="s">
        <v>112</v>
      </c>
      <c r="E15" s="25" t="s">
        <v>113</v>
      </c>
      <c r="F15" s="11" t="s">
        <v>114</v>
      </c>
    </row>
    <row r="16" spans="1:6">
      <c r="A16" s="13" t="s">
        <v>115</v>
      </c>
      <c r="B16" s="14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117</v>
      </c>
      <c r="B17" s="14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118</v>
      </c>
      <c r="B18" s="14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119</v>
      </c>
      <c r="B19" s="14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120</v>
      </c>
      <c r="B20" s="14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121</v>
      </c>
      <c r="B21" s="14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122</v>
      </c>
      <c r="B22" s="14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123</v>
      </c>
      <c r="B23" s="14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124</v>
      </c>
      <c r="B24" s="14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125</v>
      </c>
      <c r="B25" s="14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126</v>
      </c>
      <c r="B26" s="14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127</v>
      </c>
      <c r="B27" s="14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128</v>
      </c>
      <c r="B28" s="14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129</v>
      </c>
      <c r="B29" s="14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130</v>
      </c>
      <c r="B30" s="14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131</v>
      </c>
      <c r="B31" s="14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132</v>
      </c>
      <c r="B32" s="14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133</v>
      </c>
      <c r="B33" s="14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134</v>
      </c>
      <c r="B34" s="14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135</v>
      </c>
      <c r="B35" s="14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136</v>
      </c>
      <c r="B36" s="14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137</v>
      </c>
      <c r="B37" s="14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138</v>
      </c>
      <c r="B38" s="14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139</v>
      </c>
      <c r="B39" s="14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140</v>
      </c>
      <c r="B40" s="14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141</v>
      </c>
      <c r="B41" s="14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142</v>
      </c>
      <c r="B42" s="14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143</v>
      </c>
      <c r="B43" s="14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144</v>
      </c>
      <c r="B44" s="14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145</v>
      </c>
      <c r="B45" s="14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146</v>
      </c>
      <c r="B46" s="14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147</v>
      </c>
      <c r="B47" s="14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148</v>
      </c>
      <c r="B48" s="14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149</v>
      </c>
      <c r="B49" s="14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150</v>
      </c>
      <c r="B50" s="14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151</v>
      </c>
      <c r="B51" s="14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152</v>
      </c>
      <c r="B52" s="14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153</v>
      </c>
      <c r="B53" s="14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7" t="s">
        <v>154</v>
      </c>
      <c r="B54" s="18">
        <v>21016</v>
      </c>
      <c r="C54" s="26" t="s">
        <v>39</v>
      </c>
      <c r="D54" s="18">
        <v>0</v>
      </c>
      <c r="E54" s="26" t="s">
        <v>40</v>
      </c>
      <c r="F54" s="18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topLeftCell="A6" workbookViewId="0">
      <selection activeCell="E21" sqref="E21"/>
    </sheetView>
  </sheetViews>
  <sheetFormatPr defaultColWidth="11" defaultRowHeight="12.75" outlineLevelCol="2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155</v>
      </c>
    </row>
    <row r="2" ht="18.75" spans="2:2">
      <c r="B2" s="20" t="s">
        <v>156</v>
      </c>
    </row>
    <row r="5" ht="15" spans="2:2">
      <c r="B5" s="4" t="s">
        <v>97</v>
      </c>
    </row>
    <row r="6" ht="15" spans="1:2">
      <c r="A6" s="6" t="s">
        <v>98</v>
      </c>
      <c r="B6" s="4" t="s">
        <v>157</v>
      </c>
    </row>
    <row r="7" ht="15" spans="1:3">
      <c r="A7" s="6" t="s">
        <v>100</v>
      </c>
      <c r="B7" s="4" t="s">
        <v>158</v>
      </c>
      <c r="C7" s="1" t="s">
        <v>159</v>
      </c>
    </row>
    <row r="8" spans="2:2">
      <c r="B8" s="1" t="s">
        <v>160</v>
      </c>
    </row>
    <row r="10" ht="23.25" spans="1:1">
      <c r="A10" s="7" t="s">
        <v>92</v>
      </c>
    </row>
    <row r="11" ht="15" spans="1:3">
      <c r="A11" s="21" t="s">
        <v>161</v>
      </c>
      <c r="B11" s="11" t="s">
        <v>162</v>
      </c>
      <c r="C11" s="11" t="s">
        <v>163</v>
      </c>
    </row>
    <row r="12" ht="15" spans="1:3">
      <c r="A12" s="21">
        <v>44927</v>
      </c>
      <c r="B12" s="11" t="s">
        <v>164</v>
      </c>
      <c r="C12" s="11">
        <v>200</v>
      </c>
    </row>
    <row r="13" ht="15" spans="1:3">
      <c r="A13" s="21">
        <v>44928</v>
      </c>
      <c r="B13" s="11" t="s">
        <v>165</v>
      </c>
      <c r="C13" s="11">
        <v>20</v>
      </c>
    </row>
    <row r="14" ht="15" spans="1:3">
      <c r="A14" s="21">
        <v>44929</v>
      </c>
      <c r="B14" s="11" t="s">
        <v>166</v>
      </c>
      <c r="C14" s="11">
        <v>50</v>
      </c>
    </row>
    <row r="15" ht="15" spans="1:3">
      <c r="A15" s="21">
        <v>44930</v>
      </c>
      <c r="B15" s="11" t="s">
        <v>167</v>
      </c>
      <c r="C15" s="11">
        <v>20</v>
      </c>
    </row>
    <row r="16" ht="15" spans="1:3">
      <c r="A16" s="21">
        <v>44931</v>
      </c>
      <c r="B16" s="11" t="s">
        <v>168</v>
      </c>
      <c r="C16" s="11">
        <v>10</v>
      </c>
    </row>
    <row r="17" ht="15" spans="1:3">
      <c r="A17" s="21">
        <v>44932</v>
      </c>
      <c r="B17" s="11" t="s">
        <v>169</v>
      </c>
      <c r="C17" s="11">
        <v>150</v>
      </c>
    </row>
    <row r="18" ht="15" spans="1:3">
      <c r="A18" s="21">
        <v>44933</v>
      </c>
      <c r="B18" s="11" t="s">
        <v>170</v>
      </c>
      <c r="C18" s="11">
        <v>80</v>
      </c>
    </row>
    <row r="19" ht="15" spans="1:3">
      <c r="A19" s="21">
        <v>44934</v>
      </c>
      <c r="B19" s="11" t="s">
        <v>171</v>
      </c>
      <c r="C19" s="11">
        <v>20</v>
      </c>
    </row>
    <row r="20" ht="15" spans="1:3">
      <c r="A20" s="21">
        <v>44935</v>
      </c>
      <c r="B20" s="11" t="s">
        <v>172</v>
      </c>
      <c r="C20" s="11">
        <v>30</v>
      </c>
    </row>
    <row r="21" ht="15" spans="1:3">
      <c r="A21" s="21">
        <v>44936</v>
      </c>
      <c r="B21" s="11" t="s">
        <v>173</v>
      </c>
      <c r="C21" s="11">
        <v>20</v>
      </c>
    </row>
    <row r="22" ht="15" spans="2:3">
      <c r="B22" s="11" t="s">
        <v>174</v>
      </c>
      <c r="C22" s="22">
        <f>SUM(C11:C21)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U35"/>
  <sheetViews>
    <sheetView tabSelected="1" zoomScale="85" zoomScaleNormal="85" workbookViewId="0">
      <selection activeCell="E33" sqref="E33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10">
      <c r="A1" s="2" t="s">
        <v>12</v>
      </c>
      <c r="B1" s="3" t="s">
        <v>175</v>
      </c>
      <c r="C1" s="3"/>
      <c r="D1" s="3"/>
      <c r="E1" s="3"/>
      <c r="F1" s="3"/>
      <c r="G1" s="3"/>
      <c r="H1" s="3"/>
      <c r="I1" s="3"/>
      <c r="J1" s="3"/>
    </row>
    <row r="3" ht="15" spans="2:2">
      <c r="B3" s="4" t="s">
        <v>97</v>
      </c>
    </row>
    <row r="4" ht="18.75" spans="1:2">
      <c r="A4" s="5" t="s">
        <v>98</v>
      </c>
      <c r="B4" s="4"/>
    </row>
    <row r="5" ht="18.75" spans="1:2">
      <c r="A5" s="5" t="s">
        <v>100</v>
      </c>
      <c r="B5" s="4"/>
    </row>
    <row r="6" ht="15" spans="1:2">
      <c r="A6" s="6"/>
      <c r="B6" s="4"/>
    </row>
    <row r="8" ht="23.25" spans="1:13">
      <c r="A8" s="7" t="s">
        <v>92</v>
      </c>
      <c r="M8" s="7" t="s">
        <v>176</v>
      </c>
    </row>
    <row r="9" ht="15" spans="1:14">
      <c r="A9" s="8"/>
      <c r="B9" s="8" t="s">
        <v>177</v>
      </c>
      <c r="C9" s="8" t="s">
        <v>178</v>
      </c>
      <c r="D9" s="8" t="s">
        <v>179</v>
      </c>
      <c r="E9" s="8" t="s">
        <v>180</v>
      </c>
      <c r="F9" s="8" t="s">
        <v>181</v>
      </c>
      <c r="G9" s="8" t="s">
        <v>182</v>
      </c>
      <c r="H9" s="8" t="s">
        <v>183</v>
      </c>
      <c r="I9" s="8" t="s">
        <v>184</v>
      </c>
      <c r="J9" s="8" t="s">
        <v>185</v>
      </c>
      <c r="M9" s="19" t="s">
        <v>15</v>
      </c>
      <c r="N9" s="19" t="s">
        <v>186</v>
      </c>
    </row>
    <row r="10" ht="15" spans="1:14">
      <c r="A10" s="8" t="s">
        <v>177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177</v>
      </c>
    </row>
    <row r="11" ht="15" spans="1:14">
      <c r="A11" s="8" t="s">
        <v>178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178</v>
      </c>
    </row>
    <row r="12" ht="15" spans="1:14">
      <c r="A12" s="8" t="s">
        <v>179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179</v>
      </c>
    </row>
    <row r="13" ht="15" spans="1:14">
      <c r="A13" s="8" t="s">
        <v>180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180</v>
      </c>
    </row>
    <row r="14" ht="15" spans="1:14">
      <c r="A14" s="8" t="s">
        <v>181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181</v>
      </c>
    </row>
    <row r="15" ht="15" spans="1:14">
      <c r="A15" s="8" t="s">
        <v>182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182</v>
      </c>
    </row>
    <row r="16" ht="15" spans="1:14">
      <c r="A16" s="8" t="s">
        <v>183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183</v>
      </c>
    </row>
    <row r="17" ht="15" spans="1:14">
      <c r="A17" s="8" t="s">
        <v>184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184</v>
      </c>
    </row>
    <row r="18" ht="15" spans="1:14">
      <c r="A18" s="8" t="s">
        <v>185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8">
        <v>10116</v>
      </c>
      <c r="N18" s="18" t="s">
        <v>185</v>
      </c>
    </row>
    <row r="20" spans="21:21">
      <c r="U20" s="16"/>
    </row>
    <row r="21" ht="23.25" spans="1:1">
      <c r="A21" s="7" t="s">
        <v>187</v>
      </c>
    </row>
    <row r="22" ht="15" spans="1:3">
      <c r="A22" s="10" t="s">
        <v>188</v>
      </c>
      <c r="B22" s="11" t="s">
        <v>189</v>
      </c>
      <c r="C22" s="12" t="s">
        <v>109</v>
      </c>
    </row>
    <row r="23" ht="15" spans="1:3">
      <c r="A23" s="13">
        <v>10100</v>
      </c>
      <c r="B23" s="14">
        <v>10102</v>
      </c>
      <c r="C23" s="15">
        <f>_xlfn._xlws.FILTER(A23:A35,COUNTIF(B23:B35,A23:A35))</f>
        <v>10108</v>
      </c>
    </row>
    <row r="24" ht="15" spans="1:3">
      <c r="A24" s="13">
        <v>10100</v>
      </c>
      <c r="B24" s="14">
        <v>10104</v>
      </c>
      <c r="C24" s="15">
        <f t="shared" ref="C24:C34" si="0">_xlfn._xlws.FILTER(A24:A36,COUNTIF(B24:B36,A24:A36))</f>
        <v>10108</v>
      </c>
    </row>
    <row r="25" ht="15" spans="1:3">
      <c r="A25" s="13">
        <v>10108</v>
      </c>
      <c r="B25" s="14">
        <v>10102</v>
      </c>
      <c r="C25" s="15">
        <f t="shared" si="0"/>
        <v>10108</v>
      </c>
    </row>
    <row r="26" ht="15" spans="1:7">
      <c r="A26" s="13">
        <v>10100</v>
      </c>
      <c r="B26" s="14">
        <v>10106</v>
      </c>
      <c r="C26" s="15">
        <f t="shared" si="0"/>
        <v>10108</v>
      </c>
      <c r="G26" s="16"/>
    </row>
    <row r="27" ht="15" spans="1:3">
      <c r="A27" s="13">
        <v>10108</v>
      </c>
      <c r="B27" s="14">
        <v>10110</v>
      </c>
      <c r="C27" s="15">
        <f t="shared" si="0"/>
        <v>10108</v>
      </c>
    </row>
    <row r="28" ht="15" spans="1:3">
      <c r="A28" s="13">
        <v>10102</v>
      </c>
      <c r="B28" s="14">
        <v>10104</v>
      </c>
      <c r="C28" s="15">
        <f t="shared" si="0"/>
        <v>10106</v>
      </c>
    </row>
    <row r="29" ht="15" spans="1:3">
      <c r="A29" s="13">
        <v>10106</v>
      </c>
      <c r="B29" s="14">
        <v>10108</v>
      </c>
      <c r="C29" s="15">
        <f t="shared" si="0"/>
        <v>10106</v>
      </c>
    </row>
    <row r="30" ht="15" spans="1:3">
      <c r="A30" s="13">
        <v>10102</v>
      </c>
      <c r="B30" s="14">
        <v>10106</v>
      </c>
      <c r="C30" s="15">
        <f t="shared" si="0"/>
        <v>10112</v>
      </c>
    </row>
    <row r="31" ht="15" spans="1:3">
      <c r="A31" s="13">
        <v>10110</v>
      </c>
      <c r="B31" s="14">
        <v>10114</v>
      </c>
      <c r="C31" s="15">
        <f t="shared" si="0"/>
        <v>10112</v>
      </c>
    </row>
    <row r="32" ht="15" spans="1:3">
      <c r="A32" s="13">
        <v>10104</v>
      </c>
      <c r="B32" s="14">
        <v>10106</v>
      </c>
      <c r="C32" s="15">
        <f t="shared" si="0"/>
        <v>10112</v>
      </c>
    </row>
    <row r="33" ht="15" spans="1:3">
      <c r="A33" s="13">
        <v>10110</v>
      </c>
      <c r="B33" s="14">
        <v>10112</v>
      </c>
      <c r="C33" s="15">
        <f t="shared" si="0"/>
        <v>10112</v>
      </c>
    </row>
    <row r="34" ht="15" spans="1:3">
      <c r="A34" s="13">
        <v>10100</v>
      </c>
      <c r="B34" s="14">
        <v>10114</v>
      </c>
      <c r="C34" s="15" vm="1" t="e">
        <f t="shared" si="0"/>
        <v>#VALUE!</v>
      </c>
    </row>
    <row r="35" ht="15" spans="1:3">
      <c r="A35" s="17">
        <v>10112</v>
      </c>
      <c r="B35" s="18">
        <v>10116</v>
      </c>
      <c r="C35" s="15" vm="1" t="e">
        <f>_xlfn._xlws.FILTER(A35:A47,COUNTIF(B35:B47,A35:A47))</f>
        <v>#VALUE!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2015-02-10T17:33:00Z</dcterms:created>
  <dcterms:modified xsi:type="dcterms:W3CDTF">2023-12-10T07:01:39Z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1033-12.2.0.13306</vt:lpwstr>
  </property>
  <property fmtid="{D5CDD505-2E9C-101B-9397-08002B2CF9AE}" pid="3" name="ICV">
    <vt:lpwstr>FE0C383D6A9741DEACEA6EB821C26E59_12</vt:lpwstr>
  </property>
</Properties>
</file>